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birdb/Projects/CS297-Repos/CS297-CourseMaterials/"/>
    </mc:Choice>
  </mc:AlternateContent>
  <xr:revisionPtr revIDLastSave="0" documentId="13_ncr:1_{D20B18F1-AAA2-B342-9322-CB576A6D4F3F}" xr6:coauthVersionLast="47" xr6:coauthVersionMax="47" xr10:uidLastSave="{00000000-0000-0000-0000-000000000000}"/>
  <bookViews>
    <workbookView xWindow="9820" yWindow="6620" windowWidth="17320" windowHeight="11720" tabRatio="500" activeTab="2" xr2:uid="{00000000-000D-0000-FFFF-FFFF00000000}"/>
  </bookViews>
  <sheets>
    <sheet name="Rubric" sheetId="1" r:id="rId1"/>
    <sheet name="Score" sheetId="2" r:id="rId2"/>
    <sheet name="Pro-rated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7" i="3" l="1"/>
  <c r="A8" i="3"/>
  <c r="A9" i="3"/>
  <c r="A10" i="3"/>
  <c r="A11" i="3"/>
  <c r="A6" i="3"/>
  <c r="B10" i="3"/>
  <c r="B9" i="3"/>
  <c r="B10" i="2"/>
  <c r="B9" i="2"/>
  <c r="B8" i="3" l="1"/>
  <c r="B11" i="3"/>
  <c r="B6" i="3"/>
  <c r="B7" i="3"/>
  <c r="A13" i="2"/>
  <c r="B11" i="2"/>
  <c r="B8" i="2"/>
  <c r="B7" i="2"/>
  <c r="B13" i="2" s="1"/>
  <c r="B6" i="2"/>
  <c r="A11" i="1"/>
  <c r="A13" i="3" l="1"/>
  <c r="B13" i="3"/>
  <c r="F13" i="3" l="1"/>
</calcChain>
</file>

<file path=xl/sharedStrings.xml><?xml version="1.0" encoding="utf-8"?>
<sst xmlns="http://schemas.openxmlformats.org/spreadsheetml/2006/main" count="35" uniqueCount="15">
  <si>
    <t>Team Participation Rubric</t>
  </si>
  <si>
    <t>Possible</t>
  </si>
  <si>
    <t>Participation with your team</t>
  </si>
  <si>
    <t>Git pull requests (1 per week)</t>
  </si>
  <si>
    <t>User story hours completed (8 per week)</t>
  </si>
  <si>
    <t>Sprint meeting attendance (3 per sprint)</t>
  </si>
  <si>
    <t>Hours worked (12 per week)</t>
  </si>
  <si>
    <t>Total</t>
  </si>
  <si>
    <t>You did a good job of contributing to the success your team's project! Here is the participation grade breakdown:</t>
  </si>
  <si>
    <t>Points</t>
  </si>
  <si>
    <t>Stats</t>
  </si>
  <si>
    <t>Total (100 maximum)</t>
  </si>
  <si>
    <t>Number of weeks:</t>
  </si>
  <si>
    <t>Team work sessions (2 per week)</t>
  </si>
  <si>
    <t>Daily Stand-ups (2 per week)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</si>
</sst>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1"/>
    </font>
    <font>
      <b/>
      <sz val="16"/>
      <color theme="1"/>
      <name val="Calibri Light"/>
      <family val="2"/>
      <charset val="1"/>
    </font>
    <font>
      <b/>
      <i/>
      <sz val="14"/>
      <color theme="1"/>
      <name val="Calibri Light"/>
      <family val="2"/>
      <charset val="1"/>
    </font>
    <font>
      <sz val="14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4" fillId="0" borderId="0" xfId="0" applyFont="1"/>
    <xf numFmtId="0" fontId="3" fillId="0" borderId="0" xfId="0" applyFont="1"/>
    <xf numFmtId="2" fontId="0" fillId="0" borderId="0" xfId="0" applyNumberFormat="1"/>
    <xf numFmtId="49" fontId="0" fillId="0" borderId="0" xfId="0" applyNumberFormat="1" applyAlignment="1">
      <alignment wrapTex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zoomScaleNormal="100" workbookViewId="0">
      <selection activeCell="C8" sqref="C8"/>
    </sheetView>
  </sheetViews>
  <sheetFormatPr baseColWidth="10" defaultColWidth="11.1640625" defaultRowHeight="16" x14ac:dyDescent="0.2"/>
  <cols>
    <col min="1" max="1" width="9.6640625" customWidth="1"/>
    <col min="2" max="2" width="2.1640625" customWidth="1"/>
    <col min="3" max="3" width="36.6640625" customWidth="1"/>
  </cols>
  <sheetData>
    <row r="1" spans="1:5" ht="21" x14ac:dyDescent="0.25">
      <c r="A1" s="1" t="s">
        <v>0</v>
      </c>
    </row>
    <row r="3" spans="1:5" ht="19" x14ac:dyDescent="0.25">
      <c r="A3" s="2" t="s">
        <v>1</v>
      </c>
      <c r="B3" s="3"/>
      <c r="C3" s="2" t="s">
        <v>2</v>
      </c>
      <c r="D3" s="4"/>
      <c r="E3" s="5"/>
    </row>
    <row r="4" spans="1:5" x14ac:dyDescent="0.2">
      <c r="A4">
        <v>20</v>
      </c>
      <c r="C4" t="s">
        <v>3</v>
      </c>
    </row>
    <row r="5" spans="1:5" x14ac:dyDescent="0.2">
      <c r="A5">
        <v>30</v>
      </c>
      <c r="C5" t="s">
        <v>4</v>
      </c>
    </row>
    <row r="6" spans="1:5" x14ac:dyDescent="0.2">
      <c r="A6">
        <v>10</v>
      </c>
      <c r="C6" t="s">
        <v>5</v>
      </c>
    </row>
    <row r="7" spans="1:5" x14ac:dyDescent="0.2">
      <c r="A7">
        <v>10</v>
      </c>
      <c r="C7" t="s">
        <v>14</v>
      </c>
    </row>
    <row r="8" spans="1:5" x14ac:dyDescent="0.2">
      <c r="A8">
        <v>10</v>
      </c>
      <c r="C8" t="s">
        <v>13</v>
      </c>
    </row>
    <row r="9" spans="1:5" x14ac:dyDescent="0.2">
      <c r="A9">
        <v>20</v>
      </c>
      <c r="C9" t="s">
        <v>6</v>
      </c>
    </row>
    <row r="11" spans="1:5" x14ac:dyDescent="0.2">
      <c r="A11">
        <f>SUM(A4:A9)</f>
        <v>100</v>
      </c>
      <c r="C11" s="6" t="s">
        <v>7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selection activeCell="C6" sqref="C6:C11"/>
    </sheetView>
  </sheetViews>
  <sheetFormatPr baseColWidth="10" defaultColWidth="11.1640625" defaultRowHeight="16" x14ac:dyDescent="0.2"/>
  <cols>
    <col min="1" max="1" width="9.33203125" customWidth="1"/>
    <col min="2" max="2" width="8.1640625" customWidth="1"/>
    <col min="3" max="3" width="8.83203125" customWidth="1"/>
    <col min="4" max="4" width="3.1640625" customWidth="1"/>
    <col min="5" max="5" width="36.6640625" customWidth="1"/>
  </cols>
  <sheetData>
    <row r="1" spans="1:6" ht="21" x14ac:dyDescent="0.25">
      <c r="A1" s="1" t="s">
        <v>0</v>
      </c>
    </row>
    <row r="3" spans="1:6" ht="17.25" customHeight="1" x14ac:dyDescent="0.25">
      <c r="A3" s="9" t="s">
        <v>8</v>
      </c>
      <c r="B3" s="9"/>
      <c r="C3" s="9"/>
      <c r="D3" s="9"/>
      <c r="E3" s="9"/>
      <c r="F3" s="7"/>
    </row>
    <row r="4" spans="1:6" x14ac:dyDescent="0.2">
      <c r="A4" s="9"/>
      <c r="B4" s="9"/>
      <c r="C4" s="9"/>
      <c r="D4" s="9"/>
      <c r="E4" s="9"/>
    </row>
    <row r="5" spans="1:6" ht="19" x14ac:dyDescent="0.25">
      <c r="A5" s="2" t="s">
        <v>1</v>
      </c>
      <c r="B5" s="2" t="s">
        <v>9</v>
      </c>
      <c r="C5" s="2" t="s">
        <v>10</v>
      </c>
      <c r="D5" s="3"/>
      <c r="E5" s="2" t="s">
        <v>2</v>
      </c>
    </row>
    <row r="6" spans="1:6" x14ac:dyDescent="0.2">
      <c r="A6">
        <v>20</v>
      </c>
      <c r="B6">
        <f>C6*2</f>
        <v>20</v>
      </c>
      <c r="C6">
        <v>10</v>
      </c>
      <c r="E6" t="s">
        <v>3</v>
      </c>
    </row>
    <row r="7" spans="1:6" x14ac:dyDescent="0.2">
      <c r="A7">
        <v>30</v>
      </c>
      <c r="B7">
        <f>C7*3/8</f>
        <v>30</v>
      </c>
      <c r="C7">
        <v>80</v>
      </c>
      <c r="E7" t="s">
        <v>4</v>
      </c>
    </row>
    <row r="8" spans="1:6" x14ac:dyDescent="0.2">
      <c r="A8">
        <v>10</v>
      </c>
      <c r="B8">
        <f>C8*2/3</f>
        <v>10</v>
      </c>
      <c r="C8">
        <v>15</v>
      </c>
      <c r="E8" t="s">
        <v>5</v>
      </c>
    </row>
    <row r="9" spans="1:6" x14ac:dyDescent="0.2">
      <c r="A9">
        <v>10</v>
      </c>
      <c r="B9">
        <f>C9/2</f>
        <v>10</v>
      </c>
      <c r="C9">
        <v>20</v>
      </c>
      <c r="E9" t="s">
        <v>14</v>
      </c>
    </row>
    <row r="10" spans="1:6" x14ac:dyDescent="0.2">
      <c r="A10">
        <v>10</v>
      </c>
      <c r="B10">
        <f>C10/2</f>
        <v>10</v>
      </c>
      <c r="C10">
        <v>20</v>
      </c>
      <c r="E10" t="s">
        <v>13</v>
      </c>
    </row>
    <row r="11" spans="1:6" x14ac:dyDescent="0.2">
      <c r="A11">
        <v>20</v>
      </c>
      <c r="B11">
        <f>C11/6</f>
        <v>20</v>
      </c>
      <c r="C11">
        <v>120</v>
      </c>
      <c r="E11" t="s">
        <v>6</v>
      </c>
    </row>
    <row r="13" spans="1:6" x14ac:dyDescent="0.2">
      <c r="A13">
        <f>SUM(A6:A11)</f>
        <v>100</v>
      </c>
      <c r="B13">
        <f>SUM(B6:B11)</f>
        <v>100</v>
      </c>
      <c r="E13" s="6" t="s">
        <v>11</v>
      </c>
    </row>
  </sheetData>
  <mergeCells count="1">
    <mergeCell ref="A3:E4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3DD8-09F2-6143-9874-27C8FC46431E}">
  <dimension ref="A2:G13"/>
  <sheetViews>
    <sheetView tabSelected="1" workbookViewId="0">
      <selection activeCell="F18" sqref="F18"/>
    </sheetView>
  </sheetViews>
  <sheetFormatPr baseColWidth="10" defaultRowHeight="16" x14ac:dyDescent="0.2"/>
  <cols>
    <col min="4" max="4" width="2.83203125" customWidth="1"/>
  </cols>
  <sheetData>
    <row r="2" spans="1:7" x14ac:dyDescent="0.2">
      <c r="A2" t="s">
        <v>12</v>
      </c>
      <c r="C2">
        <v>10</v>
      </c>
    </row>
    <row r="5" spans="1:7" ht="19" x14ac:dyDescent="0.25">
      <c r="A5" s="2" t="s">
        <v>1</v>
      </c>
      <c r="B5" s="2" t="s">
        <v>9</v>
      </c>
      <c r="C5" s="2" t="s">
        <v>10</v>
      </c>
      <c r="D5" s="3"/>
      <c r="E5" s="2" t="s">
        <v>2</v>
      </c>
    </row>
    <row r="6" spans="1:7" x14ac:dyDescent="0.2">
      <c r="A6" s="8">
        <f>Score!A6*($C$2/10)</f>
        <v>20</v>
      </c>
      <c r="B6" s="8">
        <f>C6*2</f>
        <v>20</v>
      </c>
      <c r="C6">
        <v>10</v>
      </c>
      <c r="E6" t="s">
        <v>3</v>
      </c>
    </row>
    <row r="7" spans="1:7" x14ac:dyDescent="0.2">
      <c r="A7" s="8">
        <f>Score!A7*($C$2/10)</f>
        <v>30</v>
      </c>
      <c r="B7" s="8">
        <f>C7*3/8</f>
        <v>30</v>
      </c>
      <c r="C7">
        <v>80</v>
      </c>
      <c r="E7" t="s">
        <v>4</v>
      </c>
    </row>
    <row r="8" spans="1:7" x14ac:dyDescent="0.2">
      <c r="A8" s="8">
        <f>Score!A8*($C$2/10)</f>
        <v>10</v>
      </c>
      <c r="B8" s="8">
        <f>C8*2/3</f>
        <v>10</v>
      </c>
      <c r="C8">
        <v>15</v>
      </c>
      <c r="E8" t="s">
        <v>5</v>
      </c>
    </row>
    <row r="9" spans="1:7" x14ac:dyDescent="0.2">
      <c r="A9" s="8">
        <f>Score!A9*($C$2/10)</f>
        <v>10</v>
      </c>
      <c r="B9" s="8">
        <f>C9/2</f>
        <v>10</v>
      </c>
      <c r="C9">
        <v>20</v>
      </c>
      <c r="E9" t="s">
        <v>14</v>
      </c>
    </row>
    <row r="10" spans="1:7" x14ac:dyDescent="0.2">
      <c r="A10" s="8">
        <f>Score!A10*($C$2/10)</f>
        <v>10</v>
      </c>
      <c r="B10" s="8">
        <f>C10/2</f>
        <v>10</v>
      </c>
      <c r="C10">
        <v>20</v>
      </c>
      <c r="E10" t="s">
        <v>13</v>
      </c>
    </row>
    <row r="11" spans="1:7" x14ac:dyDescent="0.2">
      <c r="A11" s="8">
        <f>Score!A11*($C$2/10)</f>
        <v>20</v>
      </c>
      <c r="B11" s="8">
        <f>C11/6</f>
        <v>20</v>
      </c>
      <c r="C11">
        <v>120</v>
      </c>
      <c r="E11" t="s">
        <v>6</v>
      </c>
    </row>
    <row r="12" spans="1:7" x14ac:dyDescent="0.2">
      <c r="A12" s="8"/>
      <c r="B12" s="8"/>
      <c r="C12" s="8"/>
    </row>
    <row r="13" spans="1:7" x14ac:dyDescent="0.2">
      <c r="A13" s="8">
        <f>SUM(A6:A11)</f>
        <v>100</v>
      </c>
      <c r="B13" s="8">
        <f>SUM(B6:B11)</f>
        <v>100</v>
      </c>
      <c r="C13" s="8"/>
      <c r="E13" s="6" t="s">
        <v>7</v>
      </c>
      <c r="F13" s="10">
        <f>B13/A13</f>
        <v>1</v>
      </c>
      <c r="G1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Rubric</vt:lpstr>
      <vt:lpstr>Score</vt:lpstr>
      <vt:lpstr>Pro-rated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</dc:creator>
  <dc:description/>
  <cp:lastModifiedBy>Brian Bird</cp:lastModifiedBy>
  <cp:revision>1</cp:revision>
  <dcterms:created xsi:type="dcterms:W3CDTF">2019-04-10T19:27:02Z</dcterms:created>
  <dcterms:modified xsi:type="dcterms:W3CDTF">2026-05-19T18:35:53Z</dcterms:modified>
  <dc:language>en-US</dc:language>
</cp:coreProperties>
</file>